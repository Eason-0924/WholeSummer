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/Users/chanyu/eclipse-workspace/WholeSummer/docs/"/>
    </mc:Choice>
  </mc:AlternateContent>
  <xr:revisionPtr revIDLastSave="0" documentId="13_ncr:1_{F96BE97D-B6DA-484C-9184-C37F5BBAA93D}" xr6:coauthVersionLast="47" xr6:coauthVersionMax="47" xr10:uidLastSave="{00000000-0000-0000-0000-000000000000}"/>
  <bookViews>
    <workbookView xWindow="1120" yWindow="2800" windowWidth="33080" windowHeight="16140" activeTab="7" xr2:uid="{00000000-000D-0000-FFFF-FFFF00000000}"/>
  </bookViews>
  <sheets>
    <sheet name="國一" sheetId="6" r:id="rId1"/>
    <sheet name="國二" sheetId="1" r:id="rId2"/>
    <sheet name="國三" sheetId="2" r:id="rId3"/>
    <sheet name="高一" sheetId="3" r:id="rId4"/>
    <sheet name="高二" sheetId="4" r:id="rId5"/>
    <sheet name="高三" sheetId="5" r:id="rId6"/>
    <sheet name="一對一" sheetId="9" r:id="rId7"/>
    <sheet name="統合" sheetId="7" r:id="rId8"/>
    <sheet name="工作表1" sheetId="11" r:id="rId9"/>
    <sheet name="費用管理" sheetId="10" r:id="rId10"/>
  </sheets>
  <definedNames>
    <definedName name="_xlnm._FilterDatabase" localSheetId="7" hidden="1">統合!$A$1:$E$1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3" i="10" l="1"/>
  <c r="K22" i="10"/>
  <c r="K21" i="10"/>
  <c r="K20" i="10"/>
  <c r="K19" i="10"/>
  <c r="K18" i="10"/>
  <c r="K17" i="10"/>
  <c r="K16" i="10"/>
  <c r="K15" i="10"/>
  <c r="K14" i="10"/>
  <c r="K13" i="10"/>
  <c r="K12" i="10"/>
  <c r="K11" i="10"/>
  <c r="K10" i="10"/>
  <c r="K9" i="10"/>
  <c r="K8" i="10"/>
  <c r="K7" i="10"/>
  <c r="K6" i="10"/>
  <c r="K5" i="10"/>
  <c r="K4" i="10"/>
  <c r="K3" i="10"/>
  <c r="K2" i="10"/>
  <c r="F23" i="10"/>
  <c r="G23" i="10"/>
  <c r="H23" i="10"/>
  <c r="F22" i="10"/>
  <c r="G22" i="10"/>
  <c r="H22" i="10"/>
  <c r="F21" i="10"/>
  <c r="H21" i="10" s="1"/>
  <c r="G21" i="10"/>
  <c r="F20" i="10"/>
  <c r="G20" i="10"/>
  <c r="F19" i="10"/>
  <c r="H19" i="10" s="1"/>
  <c r="G19" i="10"/>
  <c r="F18" i="10"/>
  <c r="G18" i="10"/>
  <c r="F17" i="10"/>
  <c r="G17" i="10"/>
  <c r="H17" i="10" s="1"/>
  <c r="F16" i="10"/>
  <c r="G16" i="10"/>
  <c r="H16" i="10" s="1"/>
  <c r="F15" i="10"/>
  <c r="G15" i="10"/>
  <c r="F14" i="10"/>
  <c r="G14" i="10"/>
  <c r="F13" i="10"/>
  <c r="G13" i="10"/>
  <c r="F12" i="10"/>
  <c r="H12" i="10" s="1"/>
  <c r="G12" i="10"/>
  <c r="F11" i="10"/>
  <c r="G11" i="10"/>
  <c r="H11" i="10"/>
  <c r="F10" i="10"/>
  <c r="G10" i="10"/>
  <c r="H10" i="10"/>
  <c r="F9" i="10"/>
  <c r="G9" i="10"/>
  <c r="F8" i="10"/>
  <c r="G8" i="10"/>
  <c r="H8" i="10"/>
  <c r="F7" i="10"/>
  <c r="G7" i="10"/>
  <c r="H7" i="10"/>
  <c r="F6" i="10"/>
  <c r="G6" i="10"/>
  <c r="F5" i="10"/>
  <c r="G5" i="10"/>
  <c r="F4" i="10"/>
  <c r="G4" i="10"/>
  <c r="F3" i="10"/>
  <c r="G3" i="10"/>
  <c r="F2" i="10"/>
  <c r="G2" i="10"/>
  <c r="H2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4" i="10"/>
  <c r="E3" i="10"/>
  <c r="E2" i="10"/>
  <c r="H13" i="10" l="1"/>
  <c r="H9" i="10"/>
  <c r="H3" i="10"/>
  <c r="H4" i="10"/>
  <c r="H15" i="10"/>
  <c r="H5" i="10"/>
  <c r="H18" i="10"/>
  <c r="H14" i="10"/>
  <c r="H6" i="10"/>
  <c r="H20" i="10"/>
  <c r="D30" i="1"/>
  <c r="D30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<sst xmlns="http://schemas.openxmlformats.org/spreadsheetml/2006/main" count="271" uniqueCount="145">
  <si>
    <t>張郁承</t>
  </si>
  <si>
    <t>羅嘉希</t>
  </si>
  <si>
    <t>莊承皓</t>
  </si>
  <si>
    <t>簡唯喆</t>
  </si>
  <si>
    <t>于宗源</t>
  </si>
  <si>
    <t>承億</t>
  </si>
  <si>
    <t>沈大君</t>
  </si>
  <si>
    <t>王致皓</t>
  </si>
  <si>
    <t>李汯鍏</t>
  </si>
  <si>
    <t>婉伶</t>
  </si>
  <si>
    <t>聿涵</t>
  </si>
  <si>
    <t>Yumi</t>
  </si>
  <si>
    <t>張紜滋(Quintina)</t>
  </si>
  <si>
    <t>林瑞德（Redmond)</t>
  </si>
  <si>
    <t>賴宥璇(Nina)</t>
  </si>
  <si>
    <t>洪杰楷</t>
  </si>
  <si>
    <t>方俊甯（Jeremy</t>
  </si>
  <si>
    <t>簡建天（Richard)</t>
  </si>
  <si>
    <t>林恩歆（Ariel)</t>
  </si>
  <si>
    <t>詹前佑（Owen)</t>
  </si>
  <si>
    <t>張郁希(Hebe)</t>
  </si>
  <si>
    <t>學生姓名</t>
    <phoneticPr fontId="1" type="noConversion"/>
  </si>
  <si>
    <t>出生日期</t>
    <phoneticPr fontId="1" type="noConversion"/>
  </si>
  <si>
    <t>家長聯絡電話</t>
    <phoneticPr fontId="1" type="noConversion"/>
  </si>
  <si>
    <t>年級</t>
  </si>
  <si>
    <t>學生姓名</t>
  </si>
  <si>
    <t>出生日期</t>
  </si>
  <si>
    <t>國一</t>
  </si>
  <si>
    <t>國二</t>
  </si>
  <si>
    <t>國三</t>
  </si>
  <si>
    <t>高一</t>
  </si>
  <si>
    <t>高二</t>
  </si>
  <si>
    <t>學期類型</t>
  </si>
  <si>
    <t>繳費起始日</t>
  </si>
  <si>
    <t>截止日</t>
  </si>
  <si>
    <t>學費</t>
  </si>
  <si>
    <t>書費</t>
  </si>
  <si>
    <t>應繳總額</t>
  </si>
  <si>
    <t>繳費狀態</t>
  </si>
  <si>
    <t>繳費日期</t>
  </si>
  <si>
    <t>提醒狀態</t>
  </si>
  <si>
    <t>6個月</t>
  </si>
  <si>
    <t>未繳</t>
  </si>
  <si>
    <t>簡唯喆（Rabby)</t>
  </si>
  <si>
    <t>陳晏碩（Quintas)</t>
  </si>
  <si>
    <t>張郁岑（Roy)</t>
  </si>
  <si>
    <t>顏皓哲（Wilson)</t>
  </si>
  <si>
    <t>吳兆勳（Ryan)</t>
  </si>
  <si>
    <t>于宗源(Fish)</t>
  </si>
  <si>
    <t>林承億（Jerry)</t>
  </si>
  <si>
    <t>王致凱（Oscar)</t>
  </si>
  <si>
    <t>吳聿涵(Queenie )</t>
  </si>
  <si>
    <t>李汯鍏（Nick)</t>
  </si>
  <si>
    <t>謝頻萱（Yumi)</t>
  </si>
  <si>
    <t>王致皓(Lucas)</t>
    <phoneticPr fontId="1" type="noConversion"/>
  </si>
  <si>
    <t>洪杰楷(James)</t>
    <phoneticPr fontId="1" type="noConversion"/>
  </si>
  <si>
    <t>薛亦晴(Sunny)</t>
    <phoneticPr fontId="1" type="noConversion"/>
  </si>
  <si>
    <t>方俊甯（Jeremy)</t>
    <phoneticPr fontId="1" type="noConversion"/>
  </si>
  <si>
    <t>傅梵溱(Della)</t>
    <phoneticPr fontId="1" type="noConversion"/>
  </si>
  <si>
    <t>沈大君(Auguse)</t>
    <phoneticPr fontId="1" type="noConversion"/>
  </si>
  <si>
    <t>李婉伶(Lin Lin)</t>
    <phoneticPr fontId="1" type="noConversion"/>
  </si>
  <si>
    <t>張紜滋</t>
    <phoneticPr fontId="1" type="noConversion"/>
  </si>
  <si>
    <t>賴宥璇</t>
    <phoneticPr fontId="1" type="noConversion"/>
  </si>
  <si>
    <t>Quintin</t>
    <phoneticPr fontId="1" type="noConversion"/>
  </si>
  <si>
    <t>Nina</t>
    <phoneticPr fontId="1" type="noConversion"/>
  </si>
  <si>
    <t>洪杰楷</t>
    <phoneticPr fontId="1" type="noConversion"/>
  </si>
  <si>
    <t>林瑞德</t>
    <phoneticPr fontId="1" type="noConversion"/>
  </si>
  <si>
    <t>薛亦晴</t>
    <phoneticPr fontId="1" type="noConversion"/>
  </si>
  <si>
    <t>James</t>
    <phoneticPr fontId="1" type="noConversion"/>
  </si>
  <si>
    <t>Redmond</t>
    <phoneticPr fontId="1" type="noConversion"/>
  </si>
  <si>
    <t>Sunny</t>
    <phoneticPr fontId="1" type="noConversion"/>
  </si>
  <si>
    <t>林恩歆</t>
    <phoneticPr fontId="1" type="noConversion"/>
  </si>
  <si>
    <t>Ariel</t>
    <phoneticPr fontId="1" type="noConversion"/>
  </si>
  <si>
    <t>張郁希</t>
    <phoneticPr fontId="1" type="noConversion"/>
  </si>
  <si>
    <t>Hebe</t>
    <phoneticPr fontId="1" type="noConversion"/>
  </si>
  <si>
    <t>詹前佑</t>
    <phoneticPr fontId="1" type="noConversion"/>
  </si>
  <si>
    <t>Owen</t>
    <phoneticPr fontId="1" type="noConversion"/>
  </si>
  <si>
    <t>方俊甯</t>
    <phoneticPr fontId="1" type="noConversion"/>
  </si>
  <si>
    <t>Jeremy</t>
    <phoneticPr fontId="1" type="noConversion"/>
  </si>
  <si>
    <t>簡建天</t>
    <phoneticPr fontId="1" type="noConversion"/>
  </si>
  <si>
    <t>張郁岑</t>
    <phoneticPr fontId="1" type="noConversion"/>
  </si>
  <si>
    <t>Richard</t>
    <phoneticPr fontId="1" type="noConversion"/>
  </si>
  <si>
    <t>Roy</t>
    <phoneticPr fontId="1" type="noConversion"/>
  </si>
  <si>
    <t>顏皓哲</t>
    <phoneticPr fontId="1" type="noConversion"/>
  </si>
  <si>
    <t>羅嘉希</t>
    <phoneticPr fontId="1" type="noConversion"/>
  </si>
  <si>
    <t>Wilson</t>
    <phoneticPr fontId="1" type="noConversion"/>
  </si>
  <si>
    <t>JC</t>
    <phoneticPr fontId="1" type="noConversion"/>
  </si>
  <si>
    <t>陳晏碩</t>
    <phoneticPr fontId="1" type="noConversion"/>
  </si>
  <si>
    <t>吳兆勳</t>
    <phoneticPr fontId="1" type="noConversion"/>
  </si>
  <si>
    <t>于宗源</t>
    <phoneticPr fontId="1" type="noConversion"/>
  </si>
  <si>
    <t>林承億</t>
    <phoneticPr fontId="1" type="noConversion"/>
  </si>
  <si>
    <t>沈大君</t>
    <phoneticPr fontId="1" type="noConversion"/>
  </si>
  <si>
    <t>傅梵溱</t>
    <phoneticPr fontId="1" type="noConversion"/>
  </si>
  <si>
    <t>王致凱</t>
    <phoneticPr fontId="1" type="noConversion"/>
  </si>
  <si>
    <t>王致皓</t>
    <phoneticPr fontId="1" type="noConversion"/>
  </si>
  <si>
    <t>李汯鍏</t>
    <phoneticPr fontId="1" type="noConversion"/>
  </si>
  <si>
    <t>李婉伶</t>
    <phoneticPr fontId="1" type="noConversion"/>
  </si>
  <si>
    <t>吳聿涵</t>
    <phoneticPr fontId="1" type="noConversion"/>
  </si>
  <si>
    <t>謝頻萱</t>
    <phoneticPr fontId="1" type="noConversion"/>
  </si>
  <si>
    <t>Yumi</t>
    <phoneticPr fontId="1" type="noConversion"/>
  </si>
  <si>
    <t xml:space="preserve">Queenie </t>
    <phoneticPr fontId="1" type="noConversion"/>
  </si>
  <si>
    <t>Lin Lin</t>
    <phoneticPr fontId="1" type="noConversion"/>
  </si>
  <si>
    <t>Nick</t>
    <phoneticPr fontId="1" type="noConversion"/>
  </si>
  <si>
    <t>Lucas</t>
    <phoneticPr fontId="1" type="noConversion"/>
  </si>
  <si>
    <t>Oscar</t>
    <phoneticPr fontId="1" type="noConversion"/>
  </si>
  <si>
    <t>Della</t>
    <phoneticPr fontId="1" type="noConversion"/>
  </si>
  <si>
    <t>Auguse</t>
    <phoneticPr fontId="1" type="noConversion"/>
  </si>
  <si>
    <t>Jerry</t>
    <phoneticPr fontId="1" type="noConversion"/>
  </si>
  <si>
    <t>Fish</t>
    <phoneticPr fontId="1" type="noConversion"/>
  </si>
  <si>
    <t>Ryan</t>
    <phoneticPr fontId="1" type="noConversion"/>
  </si>
  <si>
    <t>Quintas</t>
    <phoneticPr fontId="1" type="noConversion"/>
  </si>
  <si>
    <t>薛亦晴(Sunny)</t>
  </si>
  <si>
    <t>國一</t>
    <phoneticPr fontId="1" type="noConversion"/>
  </si>
  <si>
    <t>數+自</t>
    <phoneticPr fontId="1" type="noConversion"/>
  </si>
  <si>
    <t>賴宥璇(Nina)</t>
    <phoneticPr fontId="1" type="noConversion"/>
  </si>
  <si>
    <t>英</t>
    <phoneticPr fontId="1" type="noConversion"/>
  </si>
  <si>
    <t>傅梵溱(Della)</t>
  </si>
  <si>
    <t>高一</t>
    <phoneticPr fontId="1" type="noConversion"/>
  </si>
  <si>
    <t>林承億（Jerry)</t>
    <phoneticPr fontId="1" type="noConversion"/>
  </si>
  <si>
    <t>張紜滋(Quintina)</t>
    <phoneticPr fontId="1" type="noConversion"/>
  </si>
  <si>
    <t>國</t>
    <phoneticPr fontId="1" type="noConversion"/>
  </si>
  <si>
    <t>高二</t>
    <phoneticPr fontId="1" type="noConversion"/>
  </si>
  <si>
    <t>李汯鍏（Nick)</t>
    <phoneticPr fontId="1" type="noConversion"/>
  </si>
  <si>
    <t>數+英+國</t>
    <phoneticPr fontId="1" type="noConversion"/>
  </si>
  <si>
    <t>羅嘉希  (JC)</t>
    <phoneticPr fontId="1" type="noConversion"/>
  </si>
  <si>
    <t>林慧絹  (Amber)</t>
    <phoneticPr fontId="1" type="noConversion"/>
  </si>
  <si>
    <t>陳廷瑋  (Eric)</t>
    <phoneticPr fontId="1" type="noConversion"/>
  </si>
  <si>
    <t>張綺芸(Emma)</t>
    <phoneticPr fontId="1" type="noConversion"/>
  </si>
  <si>
    <t>林瑞德(Redmond)</t>
    <phoneticPr fontId="1" type="noConversion"/>
  </si>
  <si>
    <t>林慧絹</t>
  </si>
  <si>
    <t>陳廷瑋</t>
  </si>
  <si>
    <t>Eric</t>
  </si>
  <si>
    <t>Amber</t>
  </si>
  <si>
    <t>詹婕纭</t>
  </si>
  <si>
    <t>詹前佑（Owen)</t>
    <phoneticPr fontId="1" type="noConversion"/>
  </si>
  <si>
    <t>高三</t>
    <phoneticPr fontId="1" type="noConversion"/>
  </si>
  <si>
    <t>國二</t>
    <phoneticPr fontId="1" type="noConversion"/>
  </si>
  <si>
    <t>國三</t>
    <phoneticPr fontId="1" type="noConversion"/>
  </si>
  <si>
    <t>Nicky</t>
    <phoneticPr fontId="1" type="noConversion"/>
  </si>
  <si>
    <t>年級</t>
    <phoneticPr fontId="1" type="noConversion"/>
  </si>
  <si>
    <t>學生</t>
    <phoneticPr fontId="1" type="noConversion"/>
  </si>
  <si>
    <t>科目</t>
    <phoneticPr fontId="1" type="noConversion"/>
  </si>
  <si>
    <t>學費</t>
    <phoneticPr fontId="1" type="noConversion"/>
  </si>
  <si>
    <t>教材</t>
    <phoneticPr fontId="1" type="noConversion"/>
  </si>
  <si>
    <t>繳費日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</si>
</sst>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/mm/dd"/>
    <numFmt numFmtId="177" formatCode="0000000000"/>
    <numFmt numFmtId="178" formatCode="yyyy\-mm\-dd;@"/>
    <numFmt numFmtId="179" formatCode="000000000"/>
  </numFmts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rgb="FFFFFFF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176" fontId="0" fillId="0" borderId="0" xfId="0" applyNumberFormat="1">
      <alignment vertical="center"/>
    </xf>
    <xf numFmtId="3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3" fillId="0" borderId="0" xfId="0" applyFont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/>
    </xf>
    <xf numFmtId="14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179" fontId="0" fillId="0" borderId="0" xfId="0" applyNumberFormat="1" applyAlignment="1">
      <alignment horizontal="center" vertical="center"/>
    </xf>
  </cellXfs>
  <cellStyles count="1">
    <cellStyle name="一般" xfId="0" builtinId="0"/>
  </cellStyles>
  <dxfs count="3">
    <dxf>
      <fill>
        <patternFill patternType="solid">
          <fgColor indexed="64"/>
          <bgColor rgb="FF90EE90"/>
        </patternFill>
      </fill>
    </dxf>
    <dxf>
      <font>
        <b/>
        <i val="0"/>
      </font>
      <fill>
        <patternFill patternType="solid">
          <fgColor indexed="64"/>
          <bgColor rgb="FFFFB347"/>
        </patternFill>
      </fill>
    </dxf>
    <dxf>
      <font>
        <b/>
        <i val="0"/>
        <color rgb="FFFFFFFF"/>
      </font>
      <fill>
        <patternFill patternType="solid">
          <fgColor indexed="64"/>
          <bgColor rgb="FFFF6B6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63A60-2FF7-284E-96F2-FD2F32710C43}">
  <dimension ref="A1"/>
  <sheetViews>
    <sheetView zoomScale="160" zoomScaleNormal="160" zoomScaleSheetLayoutView="100" workbookViewId="0">
      <selection sqref="A1:A1048576"/>
    </sheetView>
  </sheetViews>
  <sheetFormatPr baseColWidth="10" defaultColWidth="9" defaultRowHeight="15"/>
  <cols>
    <col min="1" max="16384" width="9" style="9"/>
  </cols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A0013-E460-BA4F-A4BC-93AB6A7242ED}">
  <dimension ref="A1:D30"/>
  <sheetViews>
    <sheetView zoomScale="180" zoomScaleNormal="180" zoomScaleSheetLayoutView="100" workbookViewId="0">
      <selection activeCell="D18" sqref="D18"/>
    </sheetView>
  </sheetViews>
  <sheetFormatPr baseColWidth="10" defaultColWidth="8.83203125" defaultRowHeight="15"/>
  <cols>
    <col min="1" max="1" width="18.6640625" style="16" bestFit="1" customWidth="1"/>
    <col min="2" max="2" width="10.83203125" style="5" bestFit="1" customWidth="1"/>
    <col min="3" max="3" width="13.83203125" style="4" bestFit="1" customWidth="1"/>
  </cols>
  <sheetData>
    <row r="1" spans="1:3">
      <c r="A1" s="9" t="s">
        <v>21</v>
      </c>
      <c r="B1" s="10" t="s">
        <v>22</v>
      </c>
      <c r="C1" s="11" t="s">
        <v>23</v>
      </c>
    </row>
    <row r="2" spans="1:3">
      <c r="A2" s="16" t="s">
        <v>56</v>
      </c>
      <c r="B2" s="10">
        <v>40455</v>
      </c>
      <c r="C2" s="11">
        <v>928464137</v>
      </c>
    </row>
    <row r="3" spans="1:3">
      <c r="A3" s="16" t="s">
        <v>127</v>
      </c>
      <c r="B3" s="10">
        <v>40456</v>
      </c>
      <c r="C3" s="11">
        <v>979640696</v>
      </c>
    </row>
    <row r="4" spans="1:3">
      <c r="A4" s="16" t="s">
        <v>119</v>
      </c>
      <c r="B4" s="10">
        <v>41228</v>
      </c>
      <c r="C4" s="11">
        <v>928846226</v>
      </c>
    </row>
    <row r="5" spans="1:3">
      <c r="A5" s="16" t="s">
        <v>128</v>
      </c>
      <c r="B5" s="10">
        <v>41240</v>
      </c>
      <c r="C5" s="11">
        <v>909219311</v>
      </c>
    </row>
    <row r="6" spans="1:3">
      <c r="A6" s="16" t="s">
        <v>114</v>
      </c>
      <c r="B6" s="10">
        <v>41255</v>
      </c>
      <c r="C6" s="11">
        <v>972570750</v>
      </c>
    </row>
    <row r="7" spans="1:3">
      <c r="A7" s="16" t="s">
        <v>55</v>
      </c>
      <c r="B7" s="10">
        <v>41345</v>
      </c>
      <c r="C7" s="11">
        <v>910516849</v>
      </c>
    </row>
    <row r="30" spans="4:4">
      <c r="D30" cm="1">
        <f t="array" aca="1" ref="D30" ca="1">D30:D58</f>
        <v>0</v>
      </c>
    </row>
  </sheetData>
  <sortState xmlns:xlrd2="http://schemas.microsoft.com/office/spreadsheetml/2017/richdata2" ref="A2:C31">
    <sortCondition ref="B1:B31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F9C6A-1BBF-BD4F-AFC5-897708466D30}">
  <dimension ref="A1:C6"/>
  <sheetViews>
    <sheetView zoomScale="180" zoomScaleNormal="180" zoomScaleSheetLayoutView="100" workbookViewId="0">
      <selection activeCell="E11" sqref="E11"/>
    </sheetView>
  </sheetViews>
  <sheetFormatPr baseColWidth="10" defaultColWidth="9" defaultRowHeight="15"/>
  <cols>
    <col min="1" max="1" width="16.83203125" style="9" bestFit="1" customWidth="1"/>
    <col min="2" max="2" width="10.83203125" style="10" bestFit="1" customWidth="1"/>
    <col min="3" max="3" width="13.83203125" style="11" bestFit="1" customWidth="1"/>
    <col min="4" max="16384" width="9" style="9"/>
  </cols>
  <sheetData>
    <row r="1" spans="1:3">
      <c r="A1" s="9" t="s">
        <v>21</v>
      </c>
      <c r="B1" s="10" t="s">
        <v>22</v>
      </c>
      <c r="C1" s="11" t="s">
        <v>23</v>
      </c>
    </row>
    <row r="2" spans="1:3">
      <c r="A2" s="16" t="s">
        <v>134</v>
      </c>
      <c r="B2" s="10">
        <v>40958</v>
      </c>
      <c r="C2" s="11">
        <v>921080454</v>
      </c>
    </row>
    <row r="3" spans="1:3">
      <c r="A3" s="16" t="s">
        <v>20</v>
      </c>
      <c r="B3" s="10">
        <v>40980</v>
      </c>
      <c r="C3" s="11">
        <v>937878155</v>
      </c>
    </row>
    <row r="4" spans="1:3">
      <c r="A4" s="16" t="s">
        <v>18</v>
      </c>
      <c r="B4" s="10">
        <v>41001</v>
      </c>
      <c r="C4" s="11">
        <v>958213728</v>
      </c>
    </row>
    <row r="5" spans="1:3">
      <c r="A5" s="16" t="s">
        <v>17</v>
      </c>
      <c r="B5" s="10">
        <v>41046</v>
      </c>
      <c r="C5" s="11">
        <v>972508682</v>
      </c>
    </row>
    <row r="6" spans="1:3">
      <c r="A6" s="16" t="s">
        <v>57</v>
      </c>
      <c r="B6" s="10">
        <v>41137</v>
      </c>
      <c r="C6" s="11">
        <v>933215739</v>
      </c>
    </row>
  </sheetData>
  <sortState xmlns:xlrd2="http://schemas.microsoft.com/office/spreadsheetml/2017/richdata2" ref="A2:C6">
    <sortCondition ref="B1:B6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C28AA-6613-C749-8E0B-EEDE1BFBBB3B}">
  <dimension ref="A1:C9"/>
  <sheetViews>
    <sheetView zoomScale="190" zoomScaleNormal="190" zoomScaleSheetLayoutView="100" workbookViewId="0">
      <selection activeCell="B17" sqref="B17"/>
    </sheetView>
  </sheetViews>
  <sheetFormatPr baseColWidth="10" defaultColWidth="9" defaultRowHeight="15"/>
  <cols>
    <col min="1" max="1" width="16.6640625" style="9" bestFit="1" customWidth="1"/>
    <col min="2" max="2" width="10.83203125" style="10" bestFit="1" customWidth="1"/>
    <col min="3" max="3" width="11.6640625" style="11" bestFit="1" customWidth="1"/>
    <col min="4" max="16384" width="9" style="9"/>
  </cols>
  <sheetData>
    <row r="1" spans="1:3">
      <c r="A1" s="9" t="s">
        <v>21</v>
      </c>
      <c r="B1" s="10" t="s">
        <v>22</v>
      </c>
      <c r="C1" s="11" t="s">
        <v>23</v>
      </c>
    </row>
    <row r="2" spans="1:3">
      <c r="A2" s="16" t="s">
        <v>125</v>
      </c>
      <c r="B2" s="10">
        <v>40464</v>
      </c>
      <c r="C2" s="11">
        <v>928410963</v>
      </c>
    </row>
    <row r="3" spans="1:3">
      <c r="A3" s="16" t="s">
        <v>124</v>
      </c>
      <c r="B3" s="10">
        <v>40551</v>
      </c>
      <c r="C3" s="11">
        <v>973878715</v>
      </c>
    </row>
    <row r="4" spans="1:3">
      <c r="A4" s="16" t="s">
        <v>45</v>
      </c>
      <c r="B4" s="10">
        <v>40600</v>
      </c>
      <c r="C4" s="11">
        <v>937878155</v>
      </c>
    </row>
    <row r="5" spans="1:3">
      <c r="A5" s="16" t="s">
        <v>126</v>
      </c>
      <c r="B5" s="10">
        <v>40609</v>
      </c>
    </row>
    <row r="6" spans="1:3">
      <c r="A6" s="16" t="s">
        <v>46</v>
      </c>
      <c r="B6" s="10">
        <v>40611</v>
      </c>
      <c r="C6" s="11">
        <v>986555639</v>
      </c>
    </row>
    <row r="7" spans="1:3">
      <c r="A7" s="16" t="s">
        <v>47</v>
      </c>
      <c r="B7" s="10">
        <v>40634</v>
      </c>
      <c r="C7" s="11">
        <v>910959891</v>
      </c>
    </row>
    <row r="8" spans="1:3">
      <c r="A8" s="16" t="s">
        <v>43</v>
      </c>
      <c r="B8" s="10">
        <v>40635</v>
      </c>
      <c r="C8" s="11">
        <v>955923463</v>
      </c>
    </row>
    <row r="9" spans="1:3">
      <c r="A9" s="16" t="s">
        <v>44</v>
      </c>
      <c r="C9" s="11">
        <v>936313731</v>
      </c>
    </row>
  </sheetData>
  <sortState xmlns:xlrd2="http://schemas.microsoft.com/office/spreadsheetml/2017/richdata2" ref="A2:C9">
    <sortCondition ref="B1:B9"/>
  </sortState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F3EAF-7FC9-FD4D-A593-D9F1A6F9C02A}">
  <dimension ref="A1:D6"/>
  <sheetViews>
    <sheetView zoomScale="220" zoomScaleNormal="220" zoomScaleSheetLayoutView="100" workbookViewId="0">
      <selection activeCell="B14" sqref="B14"/>
    </sheetView>
  </sheetViews>
  <sheetFormatPr baseColWidth="10" defaultColWidth="9" defaultRowHeight="15"/>
  <cols>
    <col min="1" max="1" width="14.33203125" style="9" bestFit="1" customWidth="1"/>
    <col min="2" max="2" width="10.83203125" style="10" bestFit="1" customWidth="1"/>
    <col min="3" max="3" width="12.6640625" style="11" bestFit="1" customWidth="1"/>
    <col min="4" max="16384" width="9" style="9"/>
  </cols>
  <sheetData>
    <row r="1" spans="1:4">
      <c r="A1" s="9" t="s">
        <v>21</v>
      </c>
      <c r="B1" s="10" t="s">
        <v>22</v>
      </c>
      <c r="C1" s="11" t="s">
        <v>23</v>
      </c>
    </row>
    <row r="2" spans="1:4">
      <c r="A2" s="16" t="s">
        <v>48</v>
      </c>
      <c r="B2" s="10">
        <v>40074</v>
      </c>
      <c r="C2" s="11">
        <v>955120160</v>
      </c>
    </row>
    <row r="3" spans="1:4">
      <c r="A3" s="16" t="s">
        <v>59</v>
      </c>
      <c r="B3" s="10">
        <v>40088</v>
      </c>
      <c r="C3" s="11">
        <v>916785408</v>
      </c>
    </row>
    <row r="4" spans="1:4">
      <c r="A4" s="16" t="s">
        <v>58</v>
      </c>
      <c r="B4" s="10">
        <v>40132</v>
      </c>
      <c r="C4" s="11">
        <v>928118802</v>
      </c>
    </row>
    <row r="5" spans="1:4">
      <c r="A5" s="16" t="s">
        <v>118</v>
      </c>
      <c r="B5" s="10">
        <v>40216</v>
      </c>
      <c r="C5" s="11">
        <v>918686372</v>
      </c>
    </row>
    <row r="6" spans="1:4">
      <c r="D6" s="17"/>
    </row>
  </sheetData>
  <sortState xmlns:xlrd2="http://schemas.microsoft.com/office/spreadsheetml/2017/richdata2" ref="A2:C6">
    <sortCondition ref="B1:B6"/>
  </sortState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0EF33-C8AB-664B-91A8-F731B724698F}">
  <dimension ref="A1:C7"/>
  <sheetViews>
    <sheetView zoomScale="190" zoomScaleNormal="190" zoomScaleSheetLayoutView="100" workbookViewId="0">
      <selection activeCell="B24" sqref="B24"/>
    </sheetView>
  </sheetViews>
  <sheetFormatPr baseColWidth="10" defaultColWidth="9" defaultRowHeight="15"/>
  <cols>
    <col min="1" max="1" width="16.33203125" style="16" bestFit="1" customWidth="1"/>
    <col min="2" max="2" width="10.83203125" style="10" bestFit="1" customWidth="1"/>
    <col min="3" max="3" width="13.83203125" style="11" bestFit="1" customWidth="1"/>
    <col min="4" max="16384" width="9" style="9"/>
  </cols>
  <sheetData>
    <row r="1" spans="1:3">
      <c r="A1" s="9" t="s">
        <v>21</v>
      </c>
      <c r="B1" s="10" t="s">
        <v>22</v>
      </c>
      <c r="C1" s="11" t="s">
        <v>23</v>
      </c>
    </row>
    <row r="2" spans="1:3">
      <c r="A2" s="16" t="s">
        <v>60</v>
      </c>
      <c r="B2" s="10">
        <v>39818</v>
      </c>
      <c r="C2" s="11">
        <v>918291050</v>
      </c>
    </row>
    <row r="3" spans="1:3">
      <c r="A3" s="16" t="s">
        <v>53</v>
      </c>
      <c r="B3" s="10">
        <v>39821</v>
      </c>
      <c r="C3" s="11">
        <v>85312308</v>
      </c>
    </row>
    <row r="4" spans="1:3">
      <c r="A4" s="16" t="s">
        <v>122</v>
      </c>
      <c r="B4" s="10">
        <v>39911</v>
      </c>
      <c r="C4" s="11">
        <v>909362512</v>
      </c>
    </row>
    <row r="5" spans="1:3">
      <c r="A5" s="16" t="s">
        <v>50</v>
      </c>
      <c r="B5" s="10">
        <v>39918</v>
      </c>
      <c r="C5" s="11">
        <v>912015241</v>
      </c>
    </row>
    <row r="6" spans="1:3">
      <c r="A6" s="16" t="s">
        <v>54</v>
      </c>
      <c r="B6" s="10">
        <v>39918</v>
      </c>
      <c r="C6" s="11">
        <v>912015241</v>
      </c>
    </row>
    <row r="7" spans="1:3">
      <c r="A7" s="16" t="s">
        <v>51</v>
      </c>
      <c r="B7" s="10">
        <v>40025</v>
      </c>
    </row>
  </sheetData>
  <sortState xmlns:xlrd2="http://schemas.microsoft.com/office/spreadsheetml/2017/richdata2" ref="A2:C7">
    <sortCondition ref="B1:B7"/>
  </sortState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41591-08E6-43EC-8586-D5673544FC43}">
  <dimension ref="A1:C1"/>
  <sheetViews>
    <sheetView zoomScaleNormal="100" zoomScaleSheetLayoutView="100" workbookViewId="0">
      <selection sqref="A1:C1"/>
    </sheetView>
  </sheetViews>
  <sheetFormatPr baseColWidth="10" defaultColWidth="8.83203125" defaultRowHeight="15"/>
  <sheetData>
    <row r="1" spans="1:3">
      <c r="A1" t="s">
        <v>21</v>
      </c>
      <c r="B1" t="s">
        <v>22</v>
      </c>
      <c r="C1" t="s">
        <v>23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74C8B-55FD-874A-9F0B-DAD352EBCF09}">
  <dimension ref="A1:E29"/>
  <sheetViews>
    <sheetView tabSelected="1" topLeftCell="B3" zoomScale="116" zoomScaleNormal="170" zoomScaleSheetLayoutView="100" workbookViewId="0">
      <selection activeCell="H7" sqref="H7"/>
    </sheetView>
  </sheetViews>
  <sheetFormatPr baseColWidth="10" defaultColWidth="9" defaultRowHeight="15"/>
  <cols>
    <col min="1" max="1" width="6" style="9" bestFit="1" customWidth="1"/>
    <col min="2" max="3" width="10.1640625" style="13" bestFit="1" customWidth="1"/>
    <col min="4" max="4" width="11.33203125" style="10" bestFit="1" customWidth="1"/>
    <col min="5" max="5" width="15.1640625" style="11" bestFit="1" customWidth="1"/>
    <col min="6" max="16384" width="9" style="9"/>
  </cols>
  <sheetData>
    <row r="1" spans="1:5">
      <c r="A1" s="6" t="s">
        <v>24</v>
      </c>
      <c r="B1" s="12" t="s">
        <v>21</v>
      </c>
      <c r="C1" s="12" t="s">
        <v>25</v>
      </c>
      <c r="D1" s="7" t="s">
        <v>26</v>
      </c>
      <c r="E1" s="8" t="s">
        <v>23</v>
      </c>
    </row>
    <row r="2" spans="1:5">
      <c r="A2" s="9" t="s">
        <v>137</v>
      </c>
      <c r="B2" s="13" t="s">
        <v>71</v>
      </c>
      <c r="C2" s="13" t="s">
        <v>72</v>
      </c>
      <c r="D2" s="10">
        <v>41001</v>
      </c>
      <c r="E2" s="11">
        <v>958213728</v>
      </c>
    </row>
    <row r="3" spans="1:5">
      <c r="A3" s="9" t="s">
        <v>137</v>
      </c>
      <c r="B3" s="13" t="s">
        <v>73</v>
      </c>
      <c r="C3" s="13" t="s">
        <v>74</v>
      </c>
      <c r="D3" s="10">
        <v>40980</v>
      </c>
      <c r="E3" s="11">
        <v>937878155</v>
      </c>
    </row>
    <row r="4" spans="1:5">
      <c r="A4" s="9" t="s">
        <v>137</v>
      </c>
      <c r="B4" s="13" t="s">
        <v>77</v>
      </c>
      <c r="C4" s="13" t="s">
        <v>78</v>
      </c>
      <c r="D4" s="10">
        <v>41137</v>
      </c>
      <c r="E4" s="11">
        <v>933215739</v>
      </c>
    </row>
    <row r="5" spans="1:5">
      <c r="A5" s="9" t="s">
        <v>137</v>
      </c>
      <c r="B5" s="13" t="s">
        <v>75</v>
      </c>
      <c r="C5" s="13" t="s">
        <v>76</v>
      </c>
      <c r="D5" s="10">
        <v>40958</v>
      </c>
      <c r="E5" s="11">
        <v>921080454</v>
      </c>
    </row>
    <row r="6" spans="1:5">
      <c r="A6" s="9" t="s">
        <v>137</v>
      </c>
      <c r="B6" s="13" t="s">
        <v>79</v>
      </c>
      <c r="C6" s="13" t="s">
        <v>81</v>
      </c>
      <c r="D6" s="10">
        <v>41046</v>
      </c>
      <c r="E6" s="11">
        <v>972508682</v>
      </c>
    </row>
    <row r="7" spans="1:5">
      <c r="A7" s="9" t="s">
        <v>136</v>
      </c>
      <c r="B7" s="13" t="s">
        <v>65</v>
      </c>
      <c r="C7" s="13" t="s">
        <v>68</v>
      </c>
      <c r="D7" s="10">
        <v>41345</v>
      </c>
      <c r="E7" s="11">
        <v>910516849</v>
      </c>
    </row>
    <row r="8" spans="1:5">
      <c r="A8" s="9" t="s">
        <v>136</v>
      </c>
      <c r="B8" s="13" t="s">
        <v>62</v>
      </c>
      <c r="C8" s="13" t="s">
        <v>64</v>
      </c>
      <c r="D8" s="10">
        <v>41255</v>
      </c>
      <c r="E8" s="11">
        <v>972570750</v>
      </c>
    </row>
    <row r="9" spans="1:5">
      <c r="A9" s="9" t="s">
        <v>136</v>
      </c>
      <c r="B9" s="13" t="s">
        <v>61</v>
      </c>
      <c r="C9" s="13" t="s">
        <v>63</v>
      </c>
      <c r="D9" s="10">
        <v>41228</v>
      </c>
      <c r="E9" s="11">
        <v>928846226</v>
      </c>
    </row>
    <row r="10" spans="1:5">
      <c r="A10" s="9" t="s">
        <v>136</v>
      </c>
      <c r="B10" s="13" t="s">
        <v>66</v>
      </c>
      <c r="C10" s="13" t="s">
        <v>69</v>
      </c>
      <c r="D10" s="10">
        <v>41240</v>
      </c>
      <c r="E10" s="11">
        <v>909219311</v>
      </c>
    </row>
    <row r="11" spans="1:5">
      <c r="A11" s="9" t="s">
        <v>136</v>
      </c>
      <c r="B11" s="13" t="s">
        <v>67</v>
      </c>
      <c r="C11" s="13" t="s">
        <v>70</v>
      </c>
      <c r="D11" s="10">
        <v>40455</v>
      </c>
      <c r="E11" s="11">
        <v>928464137</v>
      </c>
    </row>
    <row r="12" spans="1:5">
      <c r="A12" s="9" t="s">
        <v>112</v>
      </c>
      <c r="B12" s="13" t="s">
        <v>133</v>
      </c>
      <c r="C12" s="13" t="s">
        <v>138</v>
      </c>
      <c r="D12" s="10">
        <v>41647</v>
      </c>
      <c r="E12" s="11">
        <v>930280012</v>
      </c>
    </row>
    <row r="13" spans="1:5">
      <c r="A13" s="9" t="s">
        <v>135</v>
      </c>
      <c r="B13" s="13" t="s">
        <v>96</v>
      </c>
      <c r="C13" s="13" t="s">
        <v>101</v>
      </c>
      <c r="D13" s="10">
        <v>39818</v>
      </c>
      <c r="E13" s="11">
        <v>918291050</v>
      </c>
    </row>
    <row r="14" spans="1:5">
      <c r="A14" s="9" t="s">
        <v>135</v>
      </c>
      <c r="B14" s="13" t="s">
        <v>94</v>
      </c>
      <c r="C14" s="13" t="s">
        <v>103</v>
      </c>
      <c r="D14" s="10">
        <v>39918</v>
      </c>
      <c r="E14" s="11">
        <v>912015241</v>
      </c>
    </row>
    <row r="15" spans="1:5">
      <c r="A15" s="9" t="s">
        <v>135</v>
      </c>
      <c r="B15" s="13" t="s">
        <v>95</v>
      </c>
      <c r="C15" s="13" t="s">
        <v>102</v>
      </c>
      <c r="D15" s="10">
        <v>39911</v>
      </c>
      <c r="E15" s="11">
        <v>909362512</v>
      </c>
    </row>
    <row r="16" spans="1:5">
      <c r="A16" s="9" t="s">
        <v>135</v>
      </c>
      <c r="B16" s="13" t="s">
        <v>93</v>
      </c>
      <c r="C16" s="13" t="s">
        <v>104</v>
      </c>
      <c r="D16" s="10">
        <v>39918</v>
      </c>
      <c r="E16" s="11">
        <v>912015241</v>
      </c>
    </row>
    <row r="17" spans="1:5">
      <c r="A17" s="9" t="s">
        <v>135</v>
      </c>
      <c r="B17" s="13" t="s">
        <v>97</v>
      </c>
      <c r="C17" s="13" t="s">
        <v>100</v>
      </c>
      <c r="D17" s="10">
        <v>40025</v>
      </c>
      <c r="E17" s="11">
        <v>910959891</v>
      </c>
    </row>
    <row r="18" spans="1:5">
      <c r="A18" s="9" t="s">
        <v>135</v>
      </c>
      <c r="B18" s="13" t="s">
        <v>98</v>
      </c>
      <c r="C18" s="13" t="s">
        <v>99</v>
      </c>
      <c r="D18" s="10">
        <v>39821</v>
      </c>
      <c r="E18" s="11">
        <v>85312308</v>
      </c>
    </row>
    <row r="19" spans="1:5">
      <c r="A19" s="9" t="s">
        <v>121</v>
      </c>
      <c r="B19" s="13" t="s">
        <v>91</v>
      </c>
      <c r="C19" s="13" t="s">
        <v>106</v>
      </c>
      <c r="D19" s="10">
        <v>40088</v>
      </c>
      <c r="E19" s="11">
        <v>916785408</v>
      </c>
    </row>
    <row r="20" spans="1:5">
      <c r="A20" s="9" t="s">
        <v>121</v>
      </c>
      <c r="B20" s="13" t="s">
        <v>92</v>
      </c>
      <c r="C20" s="13" t="s">
        <v>105</v>
      </c>
      <c r="D20" s="10">
        <v>40132</v>
      </c>
      <c r="E20" s="11">
        <v>928118802</v>
      </c>
    </row>
    <row r="21" spans="1:5">
      <c r="A21" s="9" t="s">
        <v>121</v>
      </c>
      <c r="B21" s="13" t="s">
        <v>89</v>
      </c>
      <c r="C21" s="13" t="s">
        <v>108</v>
      </c>
      <c r="D21" s="10">
        <v>40074</v>
      </c>
      <c r="E21" s="11">
        <v>955120160</v>
      </c>
    </row>
    <row r="22" spans="1:5">
      <c r="A22" s="9" t="s">
        <v>121</v>
      </c>
      <c r="B22" s="13" t="s">
        <v>90</v>
      </c>
      <c r="C22" s="13" t="s">
        <v>107</v>
      </c>
      <c r="D22" s="10">
        <v>40216</v>
      </c>
      <c r="E22" s="11">
        <v>918686372</v>
      </c>
    </row>
    <row r="23" spans="1:5">
      <c r="A23" s="9" t="s">
        <v>117</v>
      </c>
      <c r="B23" s="13" t="s">
        <v>129</v>
      </c>
      <c r="C23" s="13" t="s">
        <v>132</v>
      </c>
      <c r="D23" s="10">
        <v>40464</v>
      </c>
      <c r="E23" s="11">
        <v>928410963</v>
      </c>
    </row>
    <row r="24" spans="1:5">
      <c r="A24" s="9" t="s">
        <v>117</v>
      </c>
      <c r="B24" s="13" t="s">
        <v>130</v>
      </c>
      <c r="C24" s="13" t="s">
        <v>131</v>
      </c>
      <c r="D24" s="10">
        <v>40609</v>
      </c>
    </row>
    <row r="25" spans="1:5">
      <c r="A25" s="9" t="s">
        <v>117</v>
      </c>
      <c r="B25" s="13" t="s">
        <v>84</v>
      </c>
      <c r="C25" s="13" t="s">
        <v>86</v>
      </c>
      <c r="D25" s="10">
        <v>40551</v>
      </c>
      <c r="E25" s="11">
        <v>973878715</v>
      </c>
    </row>
    <row r="26" spans="1:5">
      <c r="A26" s="9" t="s">
        <v>117</v>
      </c>
      <c r="B26" s="13" t="s">
        <v>87</v>
      </c>
      <c r="C26" s="13" t="s">
        <v>110</v>
      </c>
      <c r="E26" s="11">
        <v>936313731</v>
      </c>
    </row>
    <row r="27" spans="1:5">
      <c r="A27" s="9" t="s">
        <v>117</v>
      </c>
      <c r="B27" s="13" t="s">
        <v>80</v>
      </c>
      <c r="C27" s="13" t="s">
        <v>82</v>
      </c>
      <c r="D27" s="10">
        <v>40600</v>
      </c>
      <c r="E27" s="11">
        <v>937878155</v>
      </c>
    </row>
    <row r="28" spans="1:5">
      <c r="A28" s="9" t="s">
        <v>117</v>
      </c>
      <c r="B28" s="13" t="s">
        <v>88</v>
      </c>
      <c r="C28" s="13" t="s">
        <v>109</v>
      </c>
      <c r="D28" s="10">
        <v>40634</v>
      </c>
      <c r="E28" s="11">
        <v>910959891</v>
      </c>
    </row>
    <row r="29" spans="1:5">
      <c r="A29" s="9" t="s">
        <v>117</v>
      </c>
      <c r="B29" s="13" t="s">
        <v>83</v>
      </c>
      <c r="C29" s="13" t="s">
        <v>85</v>
      </c>
      <c r="D29" s="10">
        <v>40611</v>
      </c>
      <c r="E29" s="11">
        <v>986555639</v>
      </c>
    </row>
  </sheetData>
  <autoFilter ref="A1:E1" xr:uid="{F4374C8B-55FD-874A-9F0B-DAD352EBCF09}"/>
  <sortState xmlns:xlrd2="http://schemas.microsoft.com/office/spreadsheetml/2017/richdata2" ref="A2:E31">
    <sortCondition descending="1" ref="A1:A31"/>
  </sortState>
  <phoneticPr fontId="1" type="noConversion"/>
  <printOptions horizontalCentered="1" verticalCentered="1"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DCE25-D586-4CA8-950D-DE329C8615B1}">
  <dimension ref="A1:F11"/>
  <sheetViews>
    <sheetView workbookViewId="0">
      <selection activeCell="F2" sqref="F2"/>
    </sheetView>
  </sheetViews>
  <sheetFormatPr baseColWidth="10" defaultColWidth="8.83203125" defaultRowHeight="15"/>
  <cols>
    <col min="2" max="2" width="18.6640625" bestFit="1" customWidth="1"/>
    <col min="6" max="6" width="9.5" bestFit="1" customWidth="1"/>
  </cols>
  <sheetData>
    <row r="1" spans="1:6">
      <c r="A1" t="s">
        <v>139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</row>
    <row r="2" spans="1:6">
      <c r="A2" t="s">
        <v>112</v>
      </c>
      <c r="B2" t="s">
        <v>13</v>
      </c>
      <c r="C2" t="s">
        <v>115</v>
      </c>
      <c r="D2">
        <v>21600</v>
      </c>
      <c r="E2">
        <v>1500</v>
      </c>
      <c r="F2" s="15">
        <v>46071</v>
      </c>
    </row>
    <row r="3" spans="1:6">
      <c r="A3" t="s">
        <v>112</v>
      </c>
      <c r="B3" t="s">
        <v>111</v>
      </c>
      <c r="C3" t="s">
        <v>113</v>
      </c>
      <c r="D3">
        <v>22800</v>
      </c>
      <c r="E3">
        <v>1200</v>
      </c>
      <c r="F3" s="15">
        <v>46027</v>
      </c>
    </row>
    <row r="4" spans="1:6">
      <c r="A4" t="s">
        <v>112</v>
      </c>
      <c r="B4" t="s">
        <v>14</v>
      </c>
      <c r="C4" t="s">
        <v>113</v>
      </c>
      <c r="D4">
        <v>12600</v>
      </c>
      <c r="F4" s="15">
        <v>46113</v>
      </c>
    </row>
    <row r="5" spans="1:6">
      <c r="A5" t="s">
        <v>112</v>
      </c>
      <c r="B5" t="s">
        <v>14</v>
      </c>
      <c r="C5" t="s">
        <v>115</v>
      </c>
      <c r="D5">
        <v>23700</v>
      </c>
      <c r="F5" s="15">
        <v>46068</v>
      </c>
    </row>
    <row r="6" spans="1:6">
      <c r="A6" t="s">
        <v>112</v>
      </c>
      <c r="B6" t="s">
        <v>12</v>
      </c>
      <c r="C6" t="s">
        <v>115</v>
      </c>
      <c r="F6" s="15">
        <v>46075</v>
      </c>
    </row>
    <row r="7" spans="1:6">
      <c r="A7" t="s">
        <v>112</v>
      </c>
      <c r="B7" t="s">
        <v>12</v>
      </c>
      <c r="C7" t="s">
        <v>120</v>
      </c>
      <c r="D7">
        <v>43200</v>
      </c>
      <c r="F7" s="15">
        <v>46026</v>
      </c>
    </row>
    <row r="8" spans="1:6">
      <c r="A8" t="s">
        <v>112</v>
      </c>
      <c r="B8" t="s">
        <v>12</v>
      </c>
      <c r="C8" t="s">
        <v>113</v>
      </c>
      <c r="D8">
        <v>34305</v>
      </c>
      <c r="F8" s="15">
        <v>46145</v>
      </c>
    </row>
    <row r="9" spans="1:6">
      <c r="A9" t="s">
        <v>117</v>
      </c>
      <c r="B9" t="s">
        <v>116</v>
      </c>
      <c r="C9" t="s">
        <v>115</v>
      </c>
      <c r="D9">
        <v>26800</v>
      </c>
      <c r="F9" s="15">
        <v>46127</v>
      </c>
    </row>
    <row r="10" spans="1:6">
      <c r="A10" t="s">
        <v>117</v>
      </c>
      <c r="B10" t="s">
        <v>49</v>
      </c>
      <c r="C10" t="s">
        <v>115</v>
      </c>
      <c r="D10">
        <v>48000</v>
      </c>
      <c r="E10">
        <v>3000</v>
      </c>
      <c r="F10" s="15">
        <v>46055</v>
      </c>
    </row>
    <row r="11" spans="1:6">
      <c r="A11" t="s">
        <v>121</v>
      </c>
      <c r="B11" t="s">
        <v>52</v>
      </c>
      <c r="C11" t="s">
        <v>123</v>
      </c>
      <c r="D11">
        <v>81000</v>
      </c>
      <c r="F11" s="15">
        <v>46152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FC494-E8B2-49F2-98FD-0A07B2FBEA70}">
  <dimension ref="A1:K23"/>
  <sheetViews>
    <sheetView zoomScaleNormal="100" zoomScaleSheetLayoutView="100" workbookViewId="0">
      <pane ySplit="1" topLeftCell="A2" activePane="bottomLeft" state="frozen"/>
      <selection pane="bottomLeft" activeCell="N12" sqref="N12"/>
    </sheetView>
  </sheetViews>
  <sheetFormatPr baseColWidth="10" defaultColWidth="8.83203125" defaultRowHeight="15"/>
  <cols>
    <col min="1" max="1" width="5.5" bestFit="1" customWidth="1"/>
    <col min="2" max="2" width="18.33203125" bestFit="1" customWidth="1"/>
    <col min="3" max="3" width="9.6640625" bestFit="1" customWidth="1"/>
    <col min="4" max="4" width="12.6640625" style="15" bestFit="1" customWidth="1"/>
    <col min="5" max="5" width="10.1640625" bestFit="1" customWidth="1"/>
    <col min="6" max="6" width="7" bestFit="1" customWidth="1"/>
    <col min="7" max="7" width="5.1640625" bestFit="1" customWidth="1"/>
    <col min="8" max="8" width="9.83203125" bestFit="1" customWidth="1"/>
    <col min="9" max="9" width="10.1640625" bestFit="1" customWidth="1"/>
    <col min="10" max="10" width="9.6640625" bestFit="1" customWidth="1"/>
    <col min="11" max="11" width="13.83203125" bestFit="1" customWidth="1"/>
  </cols>
  <sheetData>
    <row r="1" spans="1:11">
      <c r="A1" s="1" t="s">
        <v>24</v>
      </c>
      <c r="B1" s="1" t="s">
        <v>25</v>
      </c>
      <c r="C1" s="1" t="s">
        <v>32</v>
      </c>
      <c r="D1" s="14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</row>
    <row r="2" spans="1:11">
      <c r="A2" t="s">
        <v>27</v>
      </c>
      <c r="B2" t="s">
        <v>12</v>
      </c>
      <c r="C2" t="s">
        <v>41</v>
      </c>
      <c r="E2" s="2" t="str">
        <f t="shared" ref="E2:E23" si="0">IF(D2="","",IF(C2="6個月",D2+180,D2+90))</f>
        <v/>
      </c>
      <c r="F2" s="3">
        <f t="shared" ref="F2:F23" si="1">IF(OR(A2="國一",A2="國二",A2="國三"),IF(C2="6個月",22000,11000),IF(OR(A2="高一",A2="高二",A2="高三"),IF(C2="6個月",25800,12900),0))</f>
        <v>22000</v>
      </c>
      <c r="G2" s="3">
        <f t="shared" ref="G2:G23" si="2">IF(C2="6個月",2000,1000)</f>
        <v>2000</v>
      </c>
      <c r="H2" s="3">
        <f t="shared" ref="H2:H23" si="3">F2+G2</f>
        <v>24000</v>
      </c>
      <c r="I2" t="s">
        <v>42</v>
      </c>
      <c r="J2" s="2"/>
      <c r="K2" t="str">
        <f t="shared" ref="K2:K23" ca="1" si="4">IF(D2="","請輸入起始日",IF(I2="已繳","✓ 已完成",IF(TODAY()&gt;E2,"❌ 已逾期",IF(E2-TODAY()&lt;=14,"⚠️ 即將到期","正常"))))</f>
        <v>請輸入起始日</v>
      </c>
    </row>
    <row r="3" spans="1:11">
      <c r="A3" t="s">
        <v>27</v>
      </c>
      <c r="B3" t="s">
        <v>14</v>
      </c>
      <c r="C3" t="s">
        <v>41</v>
      </c>
      <c r="E3" s="2" t="str">
        <f t="shared" si="0"/>
        <v/>
      </c>
      <c r="F3" s="3">
        <f t="shared" si="1"/>
        <v>22000</v>
      </c>
      <c r="G3" s="3">
        <f t="shared" si="2"/>
        <v>2000</v>
      </c>
      <c r="H3" s="3">
        <f t="shared" si="3"/>
        <v>24000</v>
      </c>
      <c r="I3" t="s">
        <v>42</v>
      </c>
      <c r="J3" s="2"/>
      <c r="K3" t="str">
        <f t="shared" ca="1" si="4"/>
        <v>請輸入起始日</v>
      </c>
    </row>
    <row r="4" spans="1:11">
      <c r="A4" t="s">
        <v>27</v>
      </c>
      <c r="B4" t="s">
        <v>15</v>
      </c>
      <c r="C4" t="s">
        <v>41</v>
      </c>
      <c r="E4" s="2" t="str">
        <f t="shared" si="0"/>
        <v/>
      </c>
      <c r="F4" s="3">
        <f t="shared" si="1"/>
        <v>22000</v>
      </c>
      <c r="G4" s="3">
        <f t="shared" si="2"/>
        <v>2000</v>
      </c>
      <c r="H4" s="3">
        <f t="shared" si="3"/>
        <v>24000</v>
      </c>
      <c r="I4" t="s">
        <v>42</v>
      </c>
      <c r="J4" s="2"/>
      <c r="K4" t="str">
        <f t="shared" ca="1" si="4"/>
        <v>請輸入起始日</v>
      </c>
    </row>
    <row r="5" spans="1:11">
      <c r="A5" t="s">
        <v>27</v>
      </c>
      <c r="B5" t="s">
        <v>13</v>
      </c>
      <c r="C5" t="s">
        <v>41</v>
      </c>
      <c r="E5" s="2" t="str">
        <f t="shared" si="0"/>
        <v/>
      </c>
      <c r="F5" s="3">
        <f t="shared" si="1"/>
        <v>22000</v>
      </c>
      <c r="G5" s="3">
        <f t="shared" si="2"/>
        <v>2000</v>
      </c>
      <c r="H5" s="3">
        <f t="shared" si="3"/>
        <v>24000</v>
      </c>
      <c r="I5" t="s">
        <v>42</v>
      </c>
      <c r="J5" s="2"/>
      <c r="K5" t="str">
        <f t="shared" ca="1" si="4"/>
        <v>請輸入起始日</v>
      </c>
    </row>
    <row r="6" spans="1:11">
      <c r="A6" t="s">
        <v>28</v>
      </c>
      <c r="B6" t="s">
        <v>18</v>
      </c>
      <c r="C6" t="s">
        <v>41</v>
      </c>
      <c r="E6" s="2" t="str">
        <f t="shared" si="0"/>
        <v/>
      </c>
      <c r="F6" s="3">
        <f t="shared" si="1"/>
        <v>22000</v>
      </c>
      <c r="G6" s="3">
        <f t="shared" si="2"/>
        <v>2000</v>
      </c>
      <c r="H6" s="3">
        <f t="shared" si="3"/>
        <v>24000</v>
      </c>
      <c r="I6" t="s">
        <v>42</v>
      </c>
      <c r="J6" s="2"/>
      <c r="K6" t="str">
        <f t="shared" ca="1" si="4"/>
        <v>請輸入起始日</v>
      </c>
    </row>
    <row r="7" spans="1:11">
      <c r="A7" t="s">
        <v>28</v>
      </c>
      <c r="B7" t="s">
        <v>20</v>
      </c>
      <c r="C7" t="s">
        <v>41</v>
      </c>
      <c r="E7" s="2" t="str">
        <f t="shared" si="0"/>
        <v/>
      </c>
      <c r="F7" s="3">
        <f t="shared" si="1"/>
        <v>22000</v>
      </c>
      <c r="G7" s="3">
        <f t="shared" si="2"/>
        <v>2000</v>
      </c>
      <c r="H7" s="3">
        <f t="shared" si="3"/>
        <v>24000</v>
      </c>
      <c r="I7" t="s">
        <v>42</v>
      </c>
      <c r="J7" s="2"/>
      <c r="K7" t="str">
        <f t="shared" ca="1" si="4"/>
        <v>請輸入起始日</v>
      </c>
    </row>
    <row r="8" spans="1:11">
      <c r="A8" t="s">
        <v>28</v>
      </c>
      <c r="B8" t="s">
        <v>19</v>
      </c>
      <c r="C8" t="s">
        <v>41</v>
      </c>
      <c r="E8" s="2" t="str">
        <f t="shared" si="0"/>
        <v/>
      </c>
      <c r="F8" s="3">
        <f t="shared" si="1"/>
        <v>22000</v>
      </c>
      <c r="G8" s="3">
        <f t="shared" si="2"/>
        <v>2000</v>
      </c>
      <c r="H8" s="3">
        <f t="shared" si="3"/>
        <v>24000</v>
      </c>
      <c r="I8" t="s">
        <v>42</v>
      </c>
      <c r="J8" s="2"/>
      <c r="K8" t="str">
        <f t="shared" ca="1" si="4"/>
        <v>請輸入起始日</v>
      </c>
    </row>
    <row r="9" spans="1:11">
      <c r="A9" t="s">
        <v>28</v>
      </c>
      <c r="B9" t="s">
        <v>16</v>
      </c>
      <c r="C9" t="s">
        <v>41</v>
      </c>
      <c r="E9" s="2" t="str">
        <f t="shared" si="0"/>
        <v/>
      </c>
      <c r="F9" s="3">
        <f t="shared" si="1"/>
        <v>22000</v>
      </c>
      <c r="G9" s="3">
        <f t="shared" si="2"/>
        <v>2000</v>
      </c>
      <c r="H9" s="3">
        <f t="shared" si="3"/>
        <v>24000</v>
      </c>
      <c r="I9" t="s">
        <v>42</v>
      </c>
      <c r="J9" s="2"/>
      <c r="K9" t="str">
        <f t="shared" ca="1" si="4"/>
        <v>請輸入起始日</v>
      </c>
    </row>
    <row r="10" spans="1:11">
      <c r="A10" t="s">
        <v>28</v>
      </c>
      <c r="B10" t="s">
        <v>17</v>
      </c>
      <c r="C10" t="s">
        <v>41</v>
      </c>
      <c r="E10" s="2" t="str">
        <f t="shared" si="0"/>
        <v/>
      </c>
      <c r="F10" s="3">
        <f t="shared" si="1"/>
        <v>22000</v>
      </c>
      <c r="G10" s="3">
        <f t="shared" si="2"/>
        <v>2000</v>
      </c>
      <c r="H10" s="3">
        <f t="shared" si="3"/>
        <v>24000</v>
      </c>
      <c r="I10" t="s">
        <v>42</v>
      </c>
      <c r="J10" s="2"/>
      <c r="K10" t="str">
        <f t="shared" ca="1" si="4"/>
        <v>請輸入起始日</v>
      </c>
    </row>
    <row r="11" spans="1:11">
      <c r="A11" t="s">
        <v>29</v>
      </c>
      <c r="B11" t="s">
        <v>0</v>
      </c>
      <c r="C11" t="s">
        <v>41</v>
      </c>
      <c r="E11" s="2" t="str">
        <f t="shared" si="0"/>
        <v/>
      </c>
      <c r="F11" s="3">
        <f t="shared" si="1"/>
        <v>22000</v>
      </c>
      <c r="G11" s="3">
        <f t="shared" si="2"/>
        <v>2000</v>
      </c>
      <c r="H11" s="3">
        <f t="shared" si="3"/>
        <v>24000</v>
      </c>
      <c r="I11" t="s">
        <v>42</v>
      </c>
      <c r="J11" s="2"/>
      <c r="K11" t="str">
        <f t="shared" ca="1" si="4"/>
        <v>請輸入起始日</v>
      </c>
    </row>
    <row r="12" spans="1:11">
      <c r="A12" t="s">
        <v>29</v>
      </c>
      <c r="B12" t="s">
        <v>1</v>
      </c>
      <c r="C12" t="s">
        <v>41</v>
      </c>
      <c r="E12" s="2" t="str">
        <f t="shared" si="0"/>
        <v/>
      </c>
      <c r="F12" s="3">
        <f t="shared" si="1"/>
        <v>22000</v>
      </c>
      <c r="G12" s="3">
        <f t="shared" si="2"/>
        <v>2000</v>
      </c>
      <c r="H12" s="3">
        <f t="shared" si="3"/>
        <v>24000</v>
      </c>
      <c r="I12" t="s">
        <v>42</v>
      </c>
      <c r="J12" s="2"/>
      <c r="K12" t="str">
        <f t="shared" ca="1" si="4"/>
        <v>請輸入起始日</v>
      </c>
    </row>
    <row r="13" spans="1:11">
      <c r="A13" t="s">
        <v>29</v>
      </c>
      <c r="B13" t="s">
        <v>2</v>
      </c>
      <c r="C13" t="s">
        <v>41</v>
      </c>
      <c r="E13" s="2" t="str">
        <f t="shared" si="0"/>
        <v/>
      </c>
      <c r="F13" s="3">
        <f t="shared" si="1"/>
        <v>22000</v>
      </c>
      <c r="G13" s="3">
        <f t="shared" si="2"/>
        <v>2000</v>
      </c>
      <c r="H13" s="3">
        <f t="shared" si="3"/>
        <v>24000</v>
      </c>
      <c r="I13" t="s">
        <v>42</v>
      </c>
      <c r="J13" s="2"/>
      <c r="K13" t="str">
        <f t="shared" ca="1" si="4"/>
        <v>請輸入起始日</v>
      </c>
    </row>
    <row r="14" spans="1:11">
      <c r="A14" t="s">
        <v>29</v>
      </c>
      <c r="B14" t="s">
        <v>3</v>
      </c>
      <c r="C14" t="s">
        <v>41</v>
      </c>
      <c r="E14" s="2" t="str">
        <f t="shared" si="0"/>
        <v/>
      </c>
      <c r="F14" s="3">
        <f t="shared" si="1"/>
        <v>22000</v>
      </c>
      <c r="G14" s="3">
        <f t="shared" si="2"/>
        <v>2000</v>
      </c>
      <c r="H14" s="3">
        <f t="shared" si="3"/>
        <v>24000</v>
      </c>
      <c r="I14" t="s">
        <v>42</v>
      </c>
      <c r="J14" s="2"/>
      <c r="K14" t="str">
        <f t="shared" ca="1" si="4"/>
        <v>請輸入起始日</v>
      </c>
    </row>
    <row r="15" spans="1:11">
      <c r="A15" t="s">
        <v>30</v>
      </c>
      <c r="B15" t="s">
        <v>4</v>
      </c>
      <c r="C15" t="s">
        <v>41</v>
      </c>
      <c r="E15" s="2" t="str">
        <f t="shared" si="0"/>
        <v/>
      </c>
      <c r="F15" s="3">
        <f t="shared" si="1"/>
        <v>25800</v>
      </c>
      <c r="G15" s="3">
        <f t="shared" si="2"/>
        <v>2000</v>
      </c>
      <c r="H15" s="3">
        <f t="shared" si="3"/>
        <v>27800</v>
      </c>
      <c r="I15" t="s">
        <v>42</v>
      </c>
      <c r="J15" s="2"/>
      <c r="K15" t="str">
        <f t="shared" ca="1" si="4"/>
        <v>請輸入起始日</v>
      </c>
    </row>
    <row r="16" spans="1:11">
      <c r="A16" t="s">
        <v>30</v>
      </c>
      <c r="B16" t="s">
        <v>5</v>
      </c>
      <c r="C16" t="s">
        <v>41</v>
      </c>
      <c r="E16" s="2" t="str">
        <f t="shared" si="0"/>
        <v/>
      </c>
      <c r="F16" s="3">
        <f t="shared" si="1"/>
        <v>25800</v>
      </c>
      <c r="G16" s="3">
        <f t="shared" si="2"/>
        <v>2000</v>
      </c>
      <c r="H16" s="3">
        <f t="shared" si="3"/>
        <v>27800</v>
      </c>
      <c r="I16" t="s">
        <v>42</v>
      </c>
      <c r="J16" s="2"/>
      <c r="K16" t="str">
        <f t="shared" ca="1" si="4"/>
        <v>請輸入起始日</v>
      </c>
    </row>
    <row r="17" spans="1:11">
      <c r="A17" t="s">
        <v>30</v>
      </c>
      <c r="B17" t="s">
        <v>6</v>
      </c>
      <c r="C17" t="s">
        <v>41</v>
      </c>
      <c r="E17" s="2" t="str">
        <f t="shared" si="0"/>
        <v/>
      </c>
      <c r="F17" s="3">
        <f t="shared" si="1"/>
        <v>25800</v>
      </c>
      <c r="G17" s="3">
        <f t="shared" si="2"/>
        <v>2000</v>
      </c>
      <c r="H17" s="3">
        <f t="shared" si="3"/>
        <v>27800</v>
      </c>
      <c r="I17" t="s">
        <v>42</v>
      </c>
      <c r="J17" s="2"/>
      <c r="K17" t="str">
        <f t="shared" ca="1" si="4"/>
        <v>請輸入起始日</v>
      </c>
    </row>
    <row r="18" spans="1:11">
      <c r="A18" t="s">
        <v>31</v>
      </c>
      <c r="B18" t="s">
        <v>7</v>
      </c>
      <c r="C18" t="s">
        <v>41</v>
      </c>
      <c r="E18" s="2" t="str">
        <f t="shared" si="0"/>
        <v/>
      </c>
      <c r="F18" s="3">
        <f t="shared" si="1"/>
        <v>25800</v>
      </c>
      <c r="G18" s="3">
        <f t="shared" si="2"/>
        <v>2000</v>
      </c>
      <c r="H18" s="3">
        <f t="shared" si="3"/>
        <v>27800</v>
      </c>
      <c r="I18" t="s">
        <v>42</v>
      </c>
      <c r="J18" s="2"/>
      <c r="K18" t="str">
        <f t="shared" ca="1" si="4"/>
        <v>請輸入起始日</v>
      </c>
    </row>
    <row r="19" spans="1:11">
      <c r="A19" t="s">
        <v>31</v>
      </c>
      <c r="B19" t="s">
        <v>7</v>
      </c>
      <c r="C19" t="s">
        <v>41</v>
      </c>
      <c r="E19" s="2" t="str">
        <f t="shared" si="0"/>
        <v/>
      </c>
      <c r="F19" s="3">
        <f t="shared" si="1"/>
        <v>25800</v>
      </c>
      <c r="G19" s="3">
        <f t="shared" si="2"/>
        <v>2000</v>
      </c>
      <c r="H19" s="3">
        <f t="shared" si="3"/>
        <v>27800</v>
      </c>
      <c r="I19" t="s">
        <v>42</v>
      </c>
      <c r="J19" s="2"/>
      <c r="K19" t="str">
        <f t="shared" ca="1" si="4"/>
        <v>請輸入起始日</v>
      </c>
    </row>
    <row r="20" spans="1:11">
      <c r="A20" t="s">
        <v>31</v>
      </c>
      <c r="B20" t="s">
        <v>8</v>
      </c>
      <c r="C20" t="s">
        <v>41</v>
      </c>
      <c r="E20" s="2" t="str">
        <f t="shared" si="0"/>
        <v/>
      </c>
      <c r="F20" s="3">
        <f t="shared" si="1"/>
        <v>25800</v>
      </c>
      <c r="G20" s="3">
        <f t="shared" si="2"/>
        <v>2000</v>
      </c>
      <c r="H20" s="3">
        <f t="shared" si="3"/>
        <v>27800</v>
      </c>
      <c r="I20" t="s">
        <v>42</v>
      </c>
      <c r="J20" s="2"/>
      <c r="K20" t="str">
        <f t="shared" ca="1" si="4"/>
        <v>請輸入起始日</v>
      </c>
    </row>
    <row r="21" spans="1:11">
      <c r="A21" t="s">
        <v>31</v>
      </c>
      <c r="B21" t="s">
        <v>9</v>
      </c>
      <c r="C21" t="s">
        <v>41</v>
      </c>
      <c r="E21" s="2" t="str">
        <f t="shared" si="0"/>
        <v/>
      </c>
      <c r="F21" s="3">
        <f t="shared" si="1"/>
        <v>25800</v>
      </c>
      <c r="G21" s="3">
        <f t="shared" si="2"/>
        <v>2000</v>
      </c>
      <c r="H21" s="3">
        <f t="shared" si="3"/>
        <v>27800</v>
      </c>
      <c r="I21" t="s">
        <v>42</v>
      </c>
      <c r="J21" s="2"/>
      <c r="K21" t="str">
        <f t="shared" ca="1" si="4"/>
        <v>請輸入起始日</v>
      </c>
    </row>
    <row r="22" spans="1:11">
      <c r="A22" t="s">
        <v>31</v>
      </c>
      <c r="B22" t="s">
        <v>10</v>
      </c>
      <c r="C22" t="s">
        <v>41</v>
      </c>
      <c r="E22" s="2" t="str">
        <f t="shared" si="0"/>
        <v/>
      </c>
      <c r="F22" s="3">
        <f t="shared" si="1"/>
        <v>25800</v>
      </c>
      <c r="G22" s="3">
        <f t="shared" si="2"/>
        <v>2000</v>
      </c>
      <c r="H22" s="3">
        <f t="shared" si="3"/>
        <v>27800</v>
      </c>
      <c r="I22" t="s">
        <v>42</v>
      </c>
      <c r="J22" s="2"/>
      <c r="K22" t="str">
        <f t="shared" ca="1" si="4"/>
        <v>請輸入起始日</v>
      </c>
    </row>
    <row r="23" spans="1:11">
      <c r="A23" t="s">
        <v>31</v>
      </c>
      <c r="B23" t="s">
        <v>11</v>
      </c>
      <c r="C23" t="s">
        <v>41</v>
      </c>
      <c r="E23" s="2" t="str">
        <f t="shared" si="0"/>
        <v/>
      </c>
      <c r="F23" s="3">
        <f t="shared" si="1"/>
        <v>25800</v>
      </c>
      <c r="G23" s="3">
        <f t="shared" si="2"/>
        <v>2000</v>
      </c>
      <c r="H23" s="3">
        <f t="shared" si="3"/>
        <v>27800</v>
      </c>
      <c r="I23" t="s">
        <v>42</v>
      </c>
      <c r="J23" s="2"/>
      <c r="K23" t="str">
        <f t="shared" ca="1" si="4"/>
        <v>請輸入起始日</v>
      </c>
    </row>
  </sheetData>
  <phoneticPr fontId="1" type="noConversion"/>
  <conditionalFormatting sqref="K2:K23">
    <cfRule type="containsText" dxfId="2" priority="1" operator="containsText" text="已逾期">
      <formula>NOT(ISERROR(SEARCH("已逾期",K2)))</formula>
    </cfRule>
    <cfRule type="containsText" dxfId="1" priority="2" operator="containsText" text="即將到期">
      <formula>NOT(ISERROR(SEARCH("即將到期",K2)))</formula>
    </cfRule>
    <cfRule type="containsText" dxfId="0" priority="3" operator="containsText" text="已完成">
      <formula>NOT(ISERROR(SEARCH("已完成",K2)))</formula>
    </cfRule>
  </conditionalFormatting>
  <dataValidations count="2">
    <dataValidation type="list" allowBlank="1" showInputMessage="1" showErrorMessage="1" sqref="C2:C23" xr:uid="{AA1769C3-BEF4-4545-8DB6-B742CAC5A34D}">
      <formula1>"6個月,3個月"</formula1>
    </dataValidation>
    <dataValidation type="list" allowBlank="1" showInputMessage="1" showErrorMessage="1" sqref="I2:I23" xr:uid="{733050A0-4069-4CB7-AE70-B430A7B61CEB}">
      <formula1>"未繳,已繳"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國一</vt:lpstr>
      <vt:lpstr>國二</vt:lpstr>
      <vt:lpstr>國三</vt:lpstr>
      <vt:lpstr>高一</vt:lpstr>
      <vt:lpstr>高二</vt:lpstr>
      <vt:lpstr>高三</vt:lpstr>
      <vt:lpstr>一對一</vt:lpstr>
      <vt:lpstr>統合</vt:lpstr>
      <vt:lpstr>工作表1</vt:lpstr>
      <vt:lpstr>費用管理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Lai</dc:creator>
  <cp:lastModifiedBy>李展宇</cp:lastModifiedBy>
  <cp:lastPrinted>2026-04-28T12:20:47Z</cp:lastPrinted>
  <dcterms:created xsi:type="dcterms:W3CDTF">2026-04-13T15:37:47Z</dcterms:created>
  <dcterms:modified xsi:type="dcterms:W3CDTF">2026-06-25T03:02:07Z</dcterms:modified>
</cp:coreProperties>
</file>